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onc\Desktop\Social Sciences and Humanities Open (Final)\replication\raw_data\"/>
    </mc:Choice>
  </mc:AlternateContent>
  <xr:revisionPtr revIDLastSave="0" documentId="13_ncr:1_{56460289-B92C-4161-9430-9B97516A4CE3}" xr6:coauthVersionLast="47" xr6:coauthVersionMax="47" xr10:uidLastSave="{00000000-0000-0000-0000-000000000000}"/>
  <bookViews>
    <workbookView xWindow="-98" yWindow="-98" windowWidth="21795" windowHeight="14235" activeTab="4" xr2:uid="{6132BB9F-491A-47C2-AF27-30E191F673B2}"/>
  </bookViews>
  <sheets>
    <sheet name="Alabama" sheetId="1" r:id="rId1"/>
    <sheet name="Mississippi" sheetId="2" r:id="rId2"/>
    <sheet name="Wyoming" sheetId="3" r:id="rId3"/>
    <sheet name="Arkansas" sheetId="4" r:id="rId4"/>
    <sheet name="New Jerse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" i="5" l="1"/>
  <c r="C2" i="1"/>
  <c r="O2" i="1"/>
  <c r="D4" i="4"/>
  <c r="D20" i="3"/>
  <c r="D16" i="3"/>
  <c r="D17" i="2"/>
  <c r="D7" i="2"/>
  <c r="D9" i="2"/>
  <c r="D8" i="2"/>
  <c r="B7" i="1"/>
  <c r="B3" i="1"/>
  <c r="B2" i="1"/>
  <c r="L2" i="1"/>
</calcChain>
</file>

<file path=xl/sharedStrings.xml><?xml version="1.0" encoding="utf-8"?>
<sst xmlns="http://schemas.openxmlformats.org/spreadsheetml/2006/main" count="127" uniqueCount="13">
  <si>
    <t>years</t>
  </si>
  <si>
    <t>states</t>
  </si>
  <si>
    <t>populationcovered</t>
  </si>
  <si>
    <t>Alabama</t>
  </si>
  <si>
    <t>population</t>
  </si>
  <si>
    <t>Average annual change (2003-2002)</t>
  </si>
  <si>
    <t>Mississippi</t>
  </si>
  <si>
    <t>Wyoming</t>
  </si>
  <si>
    <t>Arkansas</t>
  </si>
  <si>
    <t>average annual change for population covered</t>
  </si>
  <si>
    <t>New Jersey</t>
  </si>
  <si>
    <t>population covered</t>
  </si>
  <si>
    <t>total number of incidents 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</si>
</sst>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2" borderId="0" xfId="0" applyFill="1"/>
    <xf numFmtId="0" fontId="2" fillId="0" borderId="0" xfId="0" applyFont="1"/>
    <xf numFmtId="1" fontId="1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2BAD-58B4-4C24-A2D7-5C970202C3BC}">
  <dimension ref="A1:O21"/>
  <sheetViews>
    <sheetView workbookViewId="0">
      <selection activeCell="C25" sqref="C25"/>
    </sheetView>
  </sheetViews>
  <sheetFormatPr defaultRowHeight="14.25" x14ac:dyDescent="0.45"/>
  <cols>
    <col min="2" max="2" width="38.59765625" customWidth="1"/>
    <col min="3" max="3" width="41.86328125" customWidth="1"/>
    <col min="4" max="4" width="17.86328125" customWidth="1"/>
    <col min="5" max="5" width="24.1328125" customWidth="1"/>
    <col min="12" max="12" width="50.3984375" customWidth="1"/>
    <col min="15" max="15" width="44.73046875" customWidth="1"/>
  </cols>
  <sheetData>
    <row r="1" spans="1:15" x14ac:dyDescent="0.45">
      <c r="A1" t="s">
        <v>4</v>
      </c>
      <c r="B1" t="s">
        <v>12</v>
      </c>
      <c r="C1" t="s">
        <v>11</v>
      </c>
      <c r="D1" t="s">
        <v>0</v>
      </c>
      <c r="E1" t="s">
        <v>1</v>
      </c>
      <c r="L1" s="2" t="s">
        <v>5</v>
      </c>
      <c r="O1" s="2" t="s">
        <v>9</v>
      </c>
    </row>
    <row r="2" spans="1:15" x14ac:dyDescent="0.45">
      <c r="A2">
        <v>4452173</v>
      </c>
      <c r="B2" s="3">
        <f>(B4-2*L2)</f>
        <v>4</v>
      </c>
      <c r="C2" s="3">
        <f>(C3-O2)</f>
        <v>276510</v>
      </c>
      <c r="D2">
        <v>2000</v>
      </c>
      <c r="E2" t="s">
        <v>3</v>
      </c>
      <c r="L2">
        <f>(B5-B4)</f>
        <v>-1</v>
      </c>
      <c r="O2">
        <f>(C4-C3)/1</f>
        <v>-8286</v>
      </c>
    </row>
    <row r="3" spans="1:15" x14ac:dyDescent="0.45">
      <c r="A3">
        <v>4467634</v>
      </c>
      <c r="B3" s="3">
        <f>B4-L2</f>
        <v>3</v>
      </c>
      <c r="C3">
        <v>268224</v>
      </c>
      <c r="D3">
        <v>2001</v>
      </c>
      <c r="E3" t="s">
        <v>3</v>
      </c>
      <c r="F3" s="1"/>
    </row>
    <row r="4" spans="1:15" x14ac:dyDescent="0.45">
      <c r="A4">
        <v>4480089</v>
      </c>
      <c r="B4">
        <v>2</v>
      </c>
      <c r="C4">
        <v>259938</v>
      </c>
      <c r="D4">
        <v>2002</v>
      </c>
      <c r="E4" t="s">
        <v>3</v>
      </c>
    </row>
    <row r="5" spans="1:15" x14ac:dyDescent="0.45">
      <c r="A5">
        <v>4503491</v>
      </c>
      <c r="B5">
        <v>1</v>
      </c>
      <c r="C5">
        <v>234120</v>
      </c>
      <c r="D5">
        <v>2003</v>
      </c>
      <c r="E5" t="s">
        <v>3</v>
      </c>
    </row>
    <row r="6" spans="1:15" x14ac:dyDescent="0.45">
      <c r="A6">
        <v>4530729</v>
      </c>
      <c r="B6">
        <v>3</v>
      </c>
      <c r="C6">
        <v>527267</v>
      </c>
      <c r="D6">
        <v>2004</v>
      </c>
      <c r="E6" t="s">
        <v>3</v>
      </c>
    </row>
    <row r="7" spans="1:15" x14ac:dyDescent="0.45">
      <c r="A7">
        <v>4569805</v>
      </c>
      <c r="B7" s="3">
        <f>(B6+B8)/2</f>
        <v>2</v>
      </c>
      <c r="C7">
        <v>455247</v>
      </c>
      <c r="D7">
        <v>2005</v>
      </c>
      <c r="E7" t="s">
        <v>3</v>
      </c>
    </row>
    <row r="8" spans="1:15" x14ac:dyDescent="0.45">
      <c r="A8">
        <v>4628981</v>
      </c>
      <c r="B8">
        <v>1</v>
      </c>
      <c r="C8">
        <v>693540</v>
      </c>
      <c r="D8">
        <v>2006</v>
      </c>
      <c r="E8" t="s">
        <v>3</v>
      </c>
    </row>
    <row r="9" spans="1:15" x14ac:dyDescent="0.45">
      <c r="A9">
        <v>4672840</v>
      </c>
      <c r="B9">
        <v>6</v>
      </c>
      <c r="C9">
        <v>2388398</v>
      </c>
      <c r="D9">
        <v>2007</v>
      </c>
      <c r="E9" t="s">
        <v>3</v>
      </c>
    </row>
    <row r="10" spans="1:15" x14ac:dyDescent="0.45">
      <c r="A10">
        <v>4718206</v>
      </c>
      <c r="B10">
        <v>11</v>
      </c>
      <c r="C10">
        <v>2802524</v>
      </c>
      <c r="D10">
        <v>2008</v>
      </c>
      <c r="E10" t="s">
        <v>3</v>
      </c>
    </row>
    <row r="11" spans="1:15" x14ac:dyDescent="0.45">
      <c r="A11">
        <v>4757938</v>
      </c>
      <c r="B11">
        <v>9</v>
      </c>
      <c r="C11">
        <v>3211336</v>
      </c>
      <c r="D11">
        <v>2009</v>
      </c>
      <c r="E11" t="s">
        <v>3</v>
      </c>
    </row>
    <row r="12" spans="1:15" x14ac:dyDescent="0.45">
      <c r="A12">
        <v>4785514</v>
      </c>
      <c r="B12">
        <v>19</v>
      </c>
      <c r="C12">
        <v>3762738</v>
      </c>
      <c r="D12">
        <v>2010</v>
      </c>
      <c r="E12" t="s">
        <v>3</v>
      </c>
    </row>
    <row r="13" spans="1:15" x14ac:dyDescent="0.45">
      <c r="A13">
        <v>4799642</v>
      </c>
      <c r="B13">
        <v>83</v>
      </c>
      <c r="C13">
        <v>2285487</v>
      </c>
      <c r="D13">
        <v>2011</v>
      </c>
      <c r="E13" t="s">
        <v>3</v>
      </c>
    </row>
    <row r="14" spans="1:15" x14ac:dyDescent="0.45">
      <c r="A14">
        <v>4816632</v>
      </c>
      <c r="B14">
        <v>6</v>
      </c>
      <c r="C14">
        <v>141235</v>
      </c>
      <c r="D14">
        <v>2012</v>
      </c>
      <c r="E14" t="s">
        <v>3</v>
      </c>
    </row>
    <row r="15" spans="1:15" x14ac:dyDescent="0.45">
      <c r="A15">
        <v>4831586</v>
      </c>
      <c r="B15">
        <v>6</v>
      </c>
      <c r="C15">
        <v>1147612</v>
      </c>
      <c r="D15">
        <v>2013</v>
      </c>
      <c r="E15" t="s">
        <v>3</v>
      </c>
    </row>
    <row r="16" spans="1:15" x14ac:dyDescent="0.45">
      <c r="A16">
        <v>4843737</v>
      </c>
      <c r="B16">
        <v>9</v>
      </c>
      <c r="C16">
        <v>794907</v>
      </c>
      <c r="D16">
        <v>2014</v>
      </c>
      <c r="E16" t="s">
        <v>3</v>
      </c>
    </row>
    <row r="17" spans="1:5" x14ac:dyDescent="0.45">
      <c r="A17">
        <v>4854803</v>
      </c>
      <c r="B17">
        <v>10</v>
      </c>
      <c r="C17">
        <v>1252146</v>
      </c>
      <c r="D17">
        <v>2015</v>
      </c>
      <c r="E17" t="s">
        <v>3</v>
      </c>
    </row>
    <row r="18" spans="1:5" x14ac:dyDescent="0.45">
      <c r="A18">
        <v>4866824</v>
      </c>
      <c r="B18">
        <v>14</v>
      </c>
      <c r="C18">
        <v>1013839</v>
      </c>
      <c r="D18">
        <v>2016</v>
      </c>
      <c r="E18" t="s">
        <v>3</v>
      </c>
    </row>
    <row r="19" spans="1:5" x14ac:dyDescent="0.45">
      <c r="A19">
        <v>4877989</v>
      </c>
      <c r="B19">
        <v>9</v>
      </c>
      <c r="C19">
        <v>2918324</v>
      </c>
      <c r="D19">
        <v>2017</v>
      </c>
      <c r="E19" t="s">
        <v>3</v>
      </c>
    </row>
    <row r="20" spans="1:5" x14ac:dyDescent="0.45">
      <c r="A20">
        <v>4891628</v>
      </c>
      <c r="B20">
        <v>2</v>
      </c>
      <c r="C20">
        <v>1865517</v>
      </c>
      <c r="D20">
        <v>2018</v>
      </c>
      <c r="E20" t="s">
        <v>3</v>
      </c>
    </row>
    <row r="21" spans="1:5" x14ac:dyDescent="0.45">
      <c r="A21">
        <v>4907965</v>
      </c>
      <c r="B21">
        <v>2</v>
      </c>
      <c r="C21">
        <v>85670</v>
      </c>
      <c r="D21">
        <v>2019</v>
      </c>
      <c r="E2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2766D-62FC-4190-A5CD-346841D6BA06}">
  <dimension ref="A1:E21"/>
  <sheetViews>
    <sheetView workbookViewId="0">
      <selection activeCell="D1" sqref="D1"/>
    </sheetView>
  </sheetViews>
  <sheetFormatPr defaultRowHeight="14.25" x14ac:dyDescent="0.45"/>
  <cols>
    <col min="2" max="2" width="16.3984375" customWidth="1"/>
    <col min="3" max="3" width="29" customWidth="1"/>
    <col min="4" max="4" width="53" customWidth="1"/>
    <col min="5" max="5" width="19.73046875" customWidth="1"/>
  </cols>
  <sheetData>
    <row r="1" spans="1:5" x14ac:dyDescent="0.45">
      <c r="A1" t="s">
        <v>0</v>
      </c>
      <c r="B1" t="s">
        <v>1</v>
      </c>
      <c r="C1" t="s">
        <v>11</v>
      </c>
      <c r="D1" t="s">
        <v>12</v>
      </c>
      <c r="E1" t="s">
        <v>4</v>
      </c>
    </row>
    <row r="2" spans="1:5" x14ac:dyDescent="0.45">
      <c r="A2">
        <v>2000</v>
      </c>
      <c r="B2" t="s">
        <v>6</v>
      </c>
      <c r="C2">
        <v>1219754</v>
      </c>
      <c r="D2">
        <v>2</v>
      </c>
      <c r="E2">
        <v>2848353</v>
      </c>
    </row>
    <row r="3" spans="1:5" x14ac:dyDescent="0.45">
      <c r="A3">
        <v>2001</v>
      </c>
      <c r="B3" t="s">
        <v>6</v>
      </c>
      <c r="C3">
        <v>942337</v>
      </c>
      <c r="D3">
        <v>3</v>
      </c>
      <c r="E3">
        <v>2852994</v>
      </c>
    </row>
    <row r="4" spans="1:5" x14ac:dyDescent="0.45">
      <c r="A4">
        <v>2002</v>
      </c>
      <c r="B4" t="s">
        <v>6</v>
      </c>
      <c r="C4">
        <v>942735</v>
      </c>
      <c r="D4">
        <v>3</v>
      </c>
      <c r="E4">
        <v>2858681</v>
      </c>
    </row>
    <row r="5" spans="1:5" x14ac:dyDescent="0.45">
      <c r="A5">
        <v>2003</v>
      </c>
      <c r="B5" t="s">
        <v>6</v>
      </c>
      <c r="C5">
        <v>825576</v>
      </c>
      <c r="D5">
        <v>1</v>
      </c>
      <c r="E5">
        <v>2868312</v>
      </c>
    </row>
    <row r="6" spans="1:5" x14ac:dyDescent="0.45">
      <c r="A6">
        <v>2004</v>
      </c>
      <c r="B6" t="s">
        <v>6</v>
      </c>
      <c r="C6">
        <v>1012911</v>
      </c>
      <c r="D6">
        <v>2</v>
      </c>
      <c r="E6">
        <v>2889010</v>
      </c>
    </row>
    <row r="7" spans="1:5" x14ac:dyDescent="0.45">
      <c r="A7">
        <v>2005</v>
      </c>
      <c r="B7" t="s">
        <v>6</v>
      </c>
      <c r="C7">
        <v>866704</v>
      </c>
      <c r="D7" s="4">
        <f>($D$6 + (1/4)* ($D$10-$D$6))</f>
        <v>2.5</v>
      </c>
      <c r="E7">
        <v>2905943</v>
      </c>
    </row>
    <row r="8" spans="1:5" x14ac:dyDescent="0.45">
      <c r="A8">
        <v>2006</v>
      </c>
      <c r="B8" t="s">
        <v>6</v>
      </c>
      <c r="C8">
        <v>830449</v>
      </c>
      <c r="D8" s="4">
        <f>($D$6 + (2/4)* ($D$10-$D$6))</f>
        <v>3</v>
      </c>
      <c r="E8">
        <v>2904978</v>
      </c>
    </row>
    <row r="9" spans="1:5" x14ac:dyDescent="0.45">
      <c r="A9">
        <v>2007</v>
      </c>
      <c r="B9" t="s">
        <v>6</v>
      </c>
      <c r="C9">
        <v>704703</v>
      </c>
      <c r="D9" s="4">
        <f>($D$6 + (3/4)* ($D$10-$D$6))</f>
        <v>3.5</v>
      </c>
      <c r="E9">
        <v>2928350</v>
      </c>
    </row>
    <row r="10" spans="1:5" x14ac:dyDescent="0.45">
      <c r="A10">
        <v>2008</v>
      </c>
      <c r="B10" t="s">
        <v>6</v>
      </c>
      <c r="C10">
        <v>752395</v>
      </c>
      <c r="D10">
        <v>4</v>
      </c>
      <c r="E10">
        <v>2947806</v>
      </c>
    </row>
    <row r="11" spans="1:5" x14ac:dyDescent="0.45">
      <c r="A11">
        <v>2009</v>
      </c>
      <c r="B11" t="s">
        <v>6</v>
      </c>
      <c r="C11">
        <v>827707</v>
      </c>
      <c r="D11">
        <v>2</v>
      </c>
      <c r="E11">
        <v>2958774</v>
      </c>
    </row>
    <row r="12" spans="1:5" x14ac:dyDescent="0.45">
      <c r="A12">
        <v>2010</v>
      </c>
      <c r="B12" t="s">
        <v>6</v>
      </c>
      <c r="C12">
        <v>794800</v>
      </c>
      <c r="D12">
        <v>11</v>
      </c>
      <c r="E12">
        <v>2970615</v>
      </c>
    </row>
    <row r="13" spans="1:5" x14ac:dyDescent="0.45">
      <c r="A13">
        <v>2011</v>
      </c>
      <c r="B13" t="s">
        <v>6</v>
      </c>
      <c r="C13">
        <v>748806</v>
      </c>
      <c r="D13">
        <v>1</v>
      </c>
      <c r="E13">
        <v>2979147</v>
      </c>
    </row>
    <row r="14" spans="1:5" x14ac:dyDescent="0.45">
      <c r="A14">
        <v>2012</v>
      </c>
      <c r="B14" t="s">
        <v>6</v>
      </c>
      <c r="C14">
        <v>707165</v>
      </c>
      <c r="D14">
        <v>18</v>
      </c>
      <c r="E14">
        <v>2984599</v>
      </c>
    </row>
    <row r="15" spans="1:5" x14ac:dyDescent="0.45">
      <c r="A15">
        <v>2013</v>
      </c>
      <c r="B15" t="s">
        <v>6</v>
      </c>
      <c r="C15">
        <v>1497332</v>
      </c>
      <c r="D15">
        <v>4</v>
      </c>
      <c r="E15">
        <v>2989839</v>
      </c>
    </row>
    <row r="16" spans="1:5" x14ac:dyDescent="0.45">
      <c r="A16">
        <v>2014</v>
      </c>
      <c r="B16" t="s">
        <v>6</v>
      </c>
      <c r="C16">
        <v>1349655</v>
      </c>
      <c r="D16">
        <v>1</v>
      </c>
      <c r="E16">
        <v>2991892</v>
      </c>
    </row>
    <row r="17" spans="1:5" x14ac:dyDescent="0.45">
      <c r="A17">
        <v>2015</v>
      </c>
      <c r="B17" t="s">
        <v>6</v>
      </c>
      <c r="C17">
        <v>763830</v>
      </c>
      <c r="D17" s="3">
        <f>(D16+D18)/2</f>
        <v>4</v>
      </c>
      <c r="E17">
        <v>2990231</v>
      </c>
    </row>
    <row r="18" spans="1:5" x14ac:dyDescent="0.45">
      <c r="A18">
        <v>2016</v>
      </c>
      <c r="B18" t="s">
        <v>6</v>
      </c>
      <c r="C18">
        <v>585454</v>
      </c>
      <c r="D18">
        <v>7</v>
      </c>
      <c r="E18">
        <v>2990595</v>
      </c>
    </row>
    <row r="19" spans="1:5" x14ac:dyDescent="0.45">
      <c r="A19">
        <v>2017</v>
      </c>
      <c r="B19" t="s">
        <v>6</v>
      </c>
      <c r="C19">
        <v>682046</v>
      </c>
      <c r="D19">
        <v>1</v>
      </c>
      <c r="E19">
        <v>2990674</v>
      </c>
    </row>
    <row r="20" spans="1:5" x14ac:dyDescent="0.45">
      <c r="A20">
        <v>2018</v>
      </c>
      <c r="B20" t="s">
        <v>6</v>
      </c>
      <c r="C20">
        <v>720646</v>
      </c>
      <c r="D20">
        <v>5</v>
      </c>
      <c r="E20">
        <v>2982879</v>
      </c>
    </row>
    <row r="21" spans="1:5" x14ac:dyDescent="0.45">
      <c r="A21">
        <v>2019</v>
      </c>
      <c r="B21" t="s">
        <v>6</v>
      </c>
      <c r="C21">
        <v>882028</v>
      </c>
      <c r="D21">
        <v>14</v>
      </c>
      <c r="E21">
        <v>2978227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7B5B-DFAC-4898-91DD-8C97582E2D8A}">
  <dimension ref="A1:E21"/>
  <sheetViews>
    <sheetView workbookViewId="0">
      <selection activeCell="D2" sqref="D2"/>
    </sheetView>
  </sheetViews>
  <sheetFormatPr defaultRowHeight="14.25" x14ac:dyDescent="0.45"/>
  <cols>
    <col min="2" max="2" width="14.3984375" customWidth="1"/>
    <col min="3" max="3" width="25.3984375" customWidth="1"/>
    <col min="4" max="4" width="32.265625" customWidth="1"/>
    <col min="5" max="5" width="33" customWidth="1"/>
  </cols>
  <sheetData>
    <row r="1" spans="1:5" x14ac:dyDescent="0.45">
      <c r="A1" t="s">
        <v>0</v>
      </c>
      <c r="B1" t="s">
        <v>1</v>
      </c>
      <c r="C1" t="s">
        <v>11</v>
      </c>
      <c r="D1" t="s">
        <v>12</v>
      </c>
      <c r="E1" t="s">
        <v>4</v>
      </c>
    </row>
    <row r="2" spans="1:5" x14ac:dyDescent="0.45">
      <c r="A2">
        <v>2000</v>
      </c>
      <c r="B2" t="s">
        <v>7</v>
      </c>
      <c r="C2">
        <v>493272</v>
      </c>
      <c r="D2">
        <v>9</v>
      </c>
      <c r="E2">
        <v>494300</v>
      </c>
    </row>
    <row r="3" spans="1:5" x14ac:dyDescent="0.45">
      <c r="A3">
        <v>2001</v>
      </c>
      <c r="B3" t="s">
        <v>7</v>
      </c>
      <c r="C3">
        <v>317185</v>
      </c>
      <c r="D3">
        <v>10</v>
      </c>
      <c r="E3">
        <v>494657</v>
      </c>
    </row>
    <row r="4" spans="1:5" x14ac:dyDescent="0.45">
      <c r="A4">
        <v>2002</v>
      </c>
      <c r="B4" t="s">
        <v>7</v>
      </c>
      <c r="C4">
        <v>290607</v>
      </c>
      <c r="D4">
        <v>5</v>
      </c>
      <c r="E4">
        <v>500017</v>
      </c>
    </row>
    <row r="5" spans="1:5" x14ac:dyDescent="0.45">
      <c r="A5">
        <v>2003</v>
      </c>
      <c r="B5" t="s">
        <v>7</v>
      </c>
      <c r="C5">
        <v>294947</v>
      </c>
      <c r="D5">
        <v>12</v>
      </c>
      <c r="E5">
        <v>503453</v>
      </c>
    </row>
    <row r="6" spans="1:5" x14ac:dyDescent="0.45">
      <c r="A6">
        <v>2004</v>
      </c>
      <c r="B6" t="s">
        <v>7</v>
      </c>
      <c r="C6">
        <v>349046</v>
      </c>
      <c r="D6">
        <v>4</v>
      </c>
      <c r="E6">
        <v>509106</v>
      </c>
    </row>
    <row r="7" spans="1:5" x14ac:dyDescent="0.45">
      <c r="A7">
        <v>2005</v>
      </c>
      <c r="B7" t="s">
        <v>7</v>
      </c>
      <c r="C7">
        <v>380216</v>
      </c>
      <c r="D7">
        <v>3</v>
      </c>
      <c r="E7">
        <v>514157</v>
      </c>
    </row>
    <row r="8" spans="1:5" x14ac:dyDescent="0.45">
      <c r="A8">
        <v>2006</v>
      </c>
      <c r="B8" t="s">
        <v>7</v>
      </c>
      <c r="C8">
        <v>503327</v>
      </c>
      <c r="D8">
        <v>5</v>
      </c>
      <c r="E8">
        <v>522667</v>
      </c>
    </row>
    <row r="9" spans="1:5" x14ac:dyDescent="0.45">
      <c r="A9">
        <v>2007</v>
      </c>
      <c r="B9" t="s">
        <v>7</v>
      </c>
      <c r="C9">
        <v>516189</v>
      </c>
      <c r="D9">
        <v>21</v>
      </c>
      <c r="E9">
        <v>534876</v>
      </c>
    </row>
    <row r="10" spans="1:5" x14ac:dyDescent="0.45">
      <c r="A10">
        <v>2008</v>
      </c>
      <c r="B10" t="s">
        <v>7</v>
      </c>
      <c r="C10">
        <v>528009</v>
      </c>
      <c r="D10">
        <v>6</v>
      </c>
      <c r="E10">
        <v>546043</v>
      </c>
    </row>
    <row r="11" spans="1:5" x14ac:dyDescent="0.45">
      <c r="A11">
        <v>2009</v>
      </c>
      <c r="B11" t="s">
        <v>7</v>
      </c>
      <c r="C11">
        <v>539500</v>
      </c>
      <c r="D11">
        <v>8</v>
      </c>
      <c r="E11">
        <v>559851</v>
      </c>
    </row>
    <row r="12" spans="1:5" x14ac:dyDescent="0.45">
      <c r="A12">
        <v>2010</v>
      </c>
      <c r="B12" t="s">
        <v>7</v>
      </c>
      <c r="C12">
        <v>559126</v>
      </c>
      <c r="D12">
        <v>2</v>
      </c>
      <c r="E12">
        <v>564531</v>
      </c>
    </row>
    <row r="13" spans="1:5" x14ac:dyDescent="0.45">
      <c r="A13">
        <v>2011</v>
      </c>
      <c r="B13" t="s">
        <v>7</v>
      </c>
      <c r="C13">
        <v>561000</v>
      </c>
      <c r="D13">
        <v>2</v>
      </c>
      <c r="E13">
        <v>567491</v>
      </c>
    </row>
    <row r="14" spans="1:5" x14ac:dyDescent="0.45">
      <c r="A14">
        <v>2012</v>
      </c>
      <c r="B14" t="s">
        <v>7</v>
      </c>
      <c r="C14">
        <v>555285</v>
      </c>
      <c r="D14">
        <v>2</v>
      </c>
      <c r="E14">
        <v>576656</v>
      </c>
    </row>
    <row r="15" spans="1:5" x14ac:dyDescent="0.45">
      <c r="A15">
        <v>2013</v>
      </c>
      <c r="B15" t="s">
        <v>7</v>
      </c>
      <c r="C15">
        <v>577987</v>
      </c>
      <c r="D15">
        <v>1</v>
      </c>
      <c r="E15">
        <v>582620</v>
      </c>
    </row>
    <row r="16" spans="1:5" x14ac:dyDescent="0.45">
      <c r="A16">
        <v>2014</v>
      </c>
      <c r="B16" t="s">
        <v>7</v>
      </c>
      <c r="C16">
        <v>579446</v>
      </c>
      <c r="D16" s="5">
        <f>(D15+D17)/2</f>
        <v>1.5</v>
      </c>
      <c r="E16">
        <v>583159</v>
      </c>
    </row>
    <row r="17" spans="1:5" x14ac:dyDescent="0.45">
      <c r="A17">
        <v>2015</v>
      </c>
      <c r="B17" t="s">
        <v>7</v>
      </c>
      <c r="C17">
        <v>564577</v>
      </c>
      <c r="D17">
        <v>2</v>
      </c>
      <c r="E17">
        <v>586389</v>
      </c>
    </row>
    <row r="18" spans="1:5" x14ac:dyDescent="0.45">
      <c r="A18">
        <v>2016</v>
      </c>
      <c r="B18" t="s">
        <v>7</v>
      </c>
      <c r="C18">
        <v>556446</v>
      </c>
      <c r="D18">
        <v>3</v>
      </c>
      <c r="E18">
        <v>585243</v>
      </c>
    </row>
    <row r="19" spans="1:5" x14ac:dyDescent="0.45">
      <c r="A19">
        <v>2017</v>
      </c>
      <c r="B19" t="s">
        <v>7</v>
      </c>
      <c r="C19">
        <v>553149</v>
      </c>
      <c r="D19">
        <v>4</v>
      </c>
      <c r="E19">
        <v>579994</v>
      </c>
    </row>
    <row r="20" spans="1:5" x14ac:dyDescent="0.45">
      <c r="A20">
        <v>2018</v>
      </c>
      <c r="B20" t="s">
        <v>7</v>
      </c>
      <c r="C20">
        <v>552818</v>
      </c>
      <c r="D20" s="5">
        <f>(D19+D21)/2</f>
        <v>4.5</v>
      </c>
      <c r="E20">
        <v>579054</v>
      </c>
    </row>
    <row r="21" spans="1:5" x14ac:dyDescent="0.45">
      <c r="A21">
        <v>2019</v>
      </c>
      <c r="B21" t="s">
        <v>7</v>
      </c>
      <c r="C21">
        <v>512713</v>
      </c>
      <c r="D21">
        <v>5</v>
      </c>
      <c r="E21">
        <v>580116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2138C-8CA1-4BF5-AA97-8DBE30FE1155}">
  <dimension ref="A1:G21"/>
  <sheetViews>
    <sheetView workbookViewId="0">
      <selection activeCell="D7" sqref="D7"/>
    </sheetView>
  </sheetViews>
  <sheetFormatPr defaultRowHeight="14.25" x14ac:dyDescent="0.45"/>
  <cols>
    <col min="2" max="2" width="18.86328125" customWidth="1"/>
    <col min="3" max="3" width="28.1328125" customWidth="1"/>
    <col min="4" max="4" width="41.3984375" customWidth="1"/>
    <col min="5" max="5" width="33.265625" customWidth="1"/>
  </cols>
  <sheetData>
    <row r="1" spans="1:7" x14ac:dyDescent="0.45">
      <c r="A1" t="s">
        <v>0</v>
      </c>
      <c r="B1" t="s">
        <v>1</v>
      </c>
      <c r="C1" t="s">
        <v>11</v>
      </c>
      <c r="D1" t="s">
        <v>12</v>
      </c>
      <c r="E1" t="s">
        <v>4</v>
      </c>
    </row>
    <row r="2" spans="1:7" x14ac:dyDescent="0.45">
      <c r="A2">
        <v>2000</v>
      </c>
      <c r="B2" t="s">
        <v>8</v>
      </c>
      <c r="C2">
        <v>77190</v>
      </c>
      <c r="D2">
        <v>3</v>
      </c>
      <c r="E2">
        <v>2678588</v>
      </c>
    </row>
    <row r="3" spans="1:7" x14ac:dyDescent="0.45">
      <c r="A3">
        <v>2001</v>
      </c>
      <c r="B3" t="s">
        <v>8</v>
      </c>
      <c r="C3">
        <v>81509</v>
      </c>
      <c r="D3">
        <v>3</v>
      </c>
      <c r="E3">
        <v>2691571</v>
      </c>
    </row>
    <row r="4" spans="1:7" x14ac:dyDescent="0.45">
      <c r="A4">
        <v>2002</v>
      </c>
      <c r="B4" t="s">
        <v>8</v>
      </c>
      <c r="C4">
        <v>387957</v>
      </c>
      <c r="D4" s="5">
        <f>(D3+D5)/2</f>
        <v>86.5</v>
      </c>
      <c r="E4">
        <v>2705927</v>
      </c>
      <c r="G4" s="1"/>
    </row>
    <row r="5" spans="1:7" x14ac:dyDescent="0.45">
      <c r="A5">
        <v>2003</v>
      </c>
      <c r="B5" t="s">
        <v>8</v>
      </c>
      <c r="C5">
        <v>1166678</v>
      </c>
      <c r="D5">
        <v>170</v>
      </c>
      <c r="E5">
        <v>2724816</v>
      </c>
    </row>
    <row r="6" spans="1:7" x14ac:dyDescent="0.45">
      <c r="A6">
        <v>2004</v>
      </c>
      <c r="B6" t="s">
        <v>8</v>
      </c>
      <c r="C6">
        <v>1632735</v>
      </c>
      <c r="D6">
        <v>93</v>
      </c>
      <c r="E6">
        <v>2749686</v>
      </c>
    </row>
    <row r="7" spans="1:7" x14ac:dyDescent="0.45">
      <c r="A7">
        <v>2005</v>
      </c>
      <c r="B7" t="s">
        <v>8</v>
      </c>
      <c r="C7">
        <v>1703545</v>
      </c>
      <c r="D7">
        <v>134</v>
      </c>
      <c r="E7">
        <v>2781097</v>
      </c>
    </row>
    <row r="8" spans="1:7" x14ac:dyDescent="0.45">
      <c r="A8">
        <v>2006</v>
      </c>
      <c r="B8" t="s">
        <v>8</v>
      </c>
      <c r="C8">
        <v>2739473</v>
      </c>
      <c r="D8">
        <v>113</v>
      </c>
      <c r="E8">
        <v>2821761</v>
      </c>
    </row>
    <row r="9" spans="1:7" x14ac:dyDescent="0.45">
      <c r="A9">
        <v>2007</v>
      </c>
      <c r="B9" t="s">
        <v>8</v>
      </c>
      <c r="C9">
        <v>2765195</v>
      </c>
      <c r="D9">
        <v>33</v>
      </c>
      <c r="E9">
        <v>2848650</v>
      </c>
    </row>
    <row r="10" spans="1:7" x14ac:dyDescent="0.45">
      <c r="A10">
        <v>2008</v>
      </c>
      <c r="B10" t="s">
        <v>8</v>
      </c>
      <c r="C10">
        <v>2767575</v>
      </c>
      <c r="D10">
        <v>91</v>
      </c>
      <c r="E10">
        <v>2874554</v>
      </c>
    </row>
    <row r="11" spans="1:7" x14ac:dyDescent="0.45">
      <c r="A11">
        <v>2009</v>
      </c>
      <c r="B11" t="s">
        <v>8</v>
      </c>
      <c r="C11">
        <v>2717288</v>
      </c>
      <c r="D11">
        <v>74</v>
      </c>
      <c r="E11">
        <v>2896843</v>
      </c>
    </row>
    <row r="12" spans="1:7" x14ac:dyDescent="0.45">
      <c r="A12">
        <v>2010</v>
      </c>
      <c r="B12" t="s">
        <v>8</v>
      </c>
      <c r="C12">
        <v>2752987</v>
      </c>
      <c r="D12">
        <v>63</v>
      </c>
      <c r="E12">
        <v>2921998</v>
      </c>
    </row>
    <row r="13" spans="1:7" x14ac:dyDescent="0.45">
      <c r="A13">
        <v>2011</v>
      </c>
      <c r="B13" t="s">
        <v>8</v>
      </c>
      <c r="C13">
        <v>2804225</v>
      </c>
      <c r="D13">
        <v>11</v>
      </c>
      <c r="E13">
        <v>2941038</v>
      </c>
    </row>
    <row r="14" spans="1:7" x14ac:dyDescent="0.45">
      <c r="A14">
        <v>2012</v>
      </c>
      <c r="B14" t="s">
        <v>8</v>
      </c>
      <c r="C14">
        <v>2748544</v>
      </c>
      <c r="D14">
        <v>30</v>
      </c>
      <c r="E14">
        <v>2952876</v>
      </c>
    </row>
    <row r="15" spans="1:7" x14ac:dyDescent="0.45">
      <c r="A15">
        <v>2013</v>
      </c>
      <c r="B15" t="s">
        <v>8</v>
      </c>
      <c r="C15">
        <v>2809536</v>
      </c>
      <c r="D15">
        <v>27</v>
      </c>
      <c r="E15">
        <v>2960459</v>
      </c>
    </row>
    <row r="16" spans="1:7" x14ac:dyDescent="0.45">
      <c r="A16">
        <v>2014</v>
      </c>
      <c r="B16" t="s">
        <v>8</v>
      </c>
      <c r="C16">
        <v>2661818</v>
      </c>
      <c r="D16">
        <v>8</v>
      </c>
      <c r="E16">
        <v>2968759</v>
      </c>
    </row>
    <row r="17" spans="1:5" x14ac:dyDescent="0.45">
      <c r="A17">
        <v>2015</v>
      </c>
      <c r="B17" t="s">
        <v>8</v>
      </c>
      <c r="C17">
        <v>2754543</v>
      </c>
      <c r="D17">
        <v>5</v>
      </c>
      <c r="E17">
        <v>2979732</v>
      </c>
    </row>
    <row r="18" spans="1:5" x14ac:dyDescent="0.45">
      <c r="A18">
        <v>2016</v>
      </c>
      <c r="B18" t="s">
        <v>8</v>
      </c>
      <c r="C18">
        <v>2853645</v>
      </c>
      <c r="D18">
        <v>12</v>
      </c>
      <c r="E18">
        <v>2991815</v>
      </c>
    </row>
    <row r="19" spans="1:5" x14ac:dyDescent="0.45">
      <c r="A19">
        <v>2017</v>
      </c>
      <c r="B19" t="s">
        <v>8</v>
      </c>
      <c r="C19">
        <v>2836240</v>
      </c>
      <c r="D19">
        <v>7</v>
      </c>
      <c r="E19">
        <v>3003855</v>
      </c>
    </row>
    <row r="20" spans="1:5" x14ac:dyDescent="0.45">
      <c r="A20">
        <v>2018</v>
      </c>
      <c r="B20" t="s">
        <v>8</v>
      </c>
      <c r="C20">
        <v>2874960</v>
      </c>
      <c r="D20">
        <v>13</v>
      </c>
      <c r="E20">
        <v>3012161</v>
      </c>
    </row>
    <row r="21" spans="1:5" x14ac:dyDescent="0.45">
      <c r="A21">
        <v>2019</v>
      </c>
      <c r="B21" t="s">
        <v>8</v>
      </c>
      <c r="C21">
        <v>2813597</v>
      </c>
      <c r="D21">
        <v>9</v>
      </c>
      <c r="E21">
        <v>3020985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67F4C-6620-4763-A626-EDC83BF9EF57}">
  <dimension ref="A1:E21"/>
  <sheetViews>
    <sheetView tabSelected="1" workbookViewId="0">
      <selection activeCell="C14" sqref="C14"/>
    </sheetView>
  </sheetViews>
  <sheetFormatPr defaultRowHeight="14.25" x14ac:dyDescent="0.45"/>
  <sheetData>
    <row r="1" spans="1:5" x14ac:dyDescent="0.45">
      <c r="A1" t="s">
        <v>4</v>
      </c>
      <c r="B1" t="s">
        <v>12</v>
      </c>
      <c r="C1" t="s">
        <v>2</v>
      </c>
      <c r="D1" t="s">
        <v>0</v>
      </c>
      <c r="E1" t="s">
        <v>1</v>
      </c>
    </row>
    <row r="2" spans="1:5" x14ac:dyDescent="0.45">
      <c r="A2">
        <v>8430621</v>
      </c>
      <c r="B2">
        <v>652</v>
      </c>
      <c r="C2">
        <v>8414350</v>
      </c>
      <c r="D2">
        <v>2000</v>
      </c>
      <c r="E2" t="s">
        <v>10</v>
      </c>
    </row>
    <row r="3" spans="1:5" x14ac:dyDescent="0.45">
      <c r="A3">
        <v>8492671</v>
      </c>
      <c r="B3">
        <v>767</v>
      </c>
      <c r="C3">
        <v>8484431</v>
      </c>
      <c r="D3">
        <v>2001</v>
      </c>
      <c r="E3" t="s">
        <v>10</v>
      </c>
    </row>
    <row r="4" spans="1:5" x14ac:dyDescent="0.45">
      <c r="A4">
        <v>8552643</v>
      </c>
      <c r="B4">
        <v>570</v>
      </c>
      <c r="C4">
        <v>8590300</v>
      </c>
      <c r="D4">
        <v>2002</v>
      </c>
      <c r="E4" t="s">
        <v>10</v>
      </c>
    </row>
    <row r="5" spans="1:5" x14ac:dyDescent="0.45">
      <c r="A5">
        <v>8601402</v>
      </c>
      <c r="B5">
        <v>594</v>
      </c>
      <c r="C5">
        <v>8638396</v>
      </c>
      <c r="D5">
        <v>2003</v>
      </c>
      <c r="E5" t="s">
        <v>10</v>
      </c>
    </row>
    <row r="6" spans="1:5" x14ac:dyDescent="0.45">
      <c r="A6">
        <v>8634561</v>
      </c>
      <c r="B6">
        <v>769</v>
      </c>
      <c r="C6">
        <v>8698879</v>
      </c>
      <c r="D6">
        <v>2004</v>
      </c>
      <c r="E6" t="s">
        <v>10</v>
      </c>
    </row>
    <row r="7" spans="1:5" x14ac:dyDescent="0.45">
      <c r="A7">
        <v>8651974</v>
      </c>
      <c r="B7">
        <v>738</v>
      </c>
      <c r="C7">
        <v>8717925</v>
      </c>
      <c r="D7">
        <v>2005</v>
      </c>
      <c r="E7" t="s">
        <v>10</v>
      </c>
    </row>
    <row r="8" spans="1:5" x14ac:dyDescent="0.45">
      <c r="A8">
        <v>8661679</v>
      </c>
      <c r="B8">
        <v>759</v>
      </c>
      <c r="C8">
        <v>8724560</v>
      </c>
      <c r="D8">
        <v>2006</v>
      </c>
      <c r="E8" t="s">
        <v>10</v>
      </c>
    </row>
    <row r="9" spans="1:5" x14ac:dyDescent="0.45">
      <c r="A9">
        <v>8677885</v>
      </c>
      <c r="B9">
        <v>748</v>
      </c>
      <c r="C9">
        <v>8684873</v>
      </c>
      <c r="D9">
        <v>2007</v>
      </c>
      <c r="E9" t="s">
        <v>10</v>
      </c>
    </row>
    <row r="10" spans="1:5" x14ac:dyDescent="0.45">
      <c r="A10">
        <v>8711090</v>
      </c>
      <c r="B10">
        <v>744</v>
      </c>
      <c r="C10">
        <v>8676494</v>
      </c>
      <c r="D10">
        <v>2008</v>
      </c>
      <c r="E10" t="s">
        <v>10</v>
      </c>
    </row>
    <row r="11" spans="1:5" x14ac:dyDescent="0.45">
      <c r="A11">
        <v>8755602</v>
      </c>
      <c r="B11">
        <v>549</v>
      </c>
      <c r="C11">
        <v>8695567</v>
      </c>
      <c r="D11">
        <v>2009</v>
      </c>
      <c r="E11" t="s">
        <v>10</v>
      </c>
    </row>
    <row r="12" spans="1:5" x14ac:dyDescent="0.45">
      <c r="A12">
        <v>8799451</v>
      </c>
      <c r="B12">
        <v>543</v>
      </c>
      <c r="C12">
        <v>8790283</v>
      </c>
      <c r="D12">
        <v>2010</v>
      </c>
      <c r="E12" t="s">
        <v>10</v>
      </c>
    </row>
    <row r="13" spans="1:5" x14ac:dyDescent="0.45">
      <c r="A13">
        <v>8828552</v>
      </c>
      <c r="B13">
        <v>508</v>
      </c>
      <c r="C13">
        <v>8819533</v>
      </c>
      <c r="D13">
        <v>2011</v>
      </c>
      <c r="E13" t="s">
        <v>10</v>
      </c>
    </row>
    <row r="14" spans="1:5" x14ac:dyDescent="0.45">
      <c r="A14">
        <v>8845671</v>
      </c>
      <c r="B14">
        <v>505</v>
      </c>
      <c r="C14" s="5">
        <f>(C13+C15)/2</f>
        <v>8858912.5</v>
      </c>
      <c r="D14">
        <v>2012</v>
      </c>
      <c r="E14" t="s">
        <v>10</v>
      </c>
    </row>
    <row r="15" spans="1:5" x14ac:dyDescent="0.45">
      <c r="A15">
        <v>8857821</v>
      </c>
      <c r="B15">
        <v>414</v>
      </c>
      <c r="C15">
        <v>8898292</v>
      </c>
      <c r="D15">
        <v>2013</v>
      </c>
      <c r="E15" t="s">
        <v>10</v>
      </c>
    </row>
    <row r="16" spans="1:5" x14ac:dyDescent="0.45">
      <c r="A16">
        <v>8867277</v>
      </c>
      <c r="B16">
        <v>336</v>
      </c>
      <c r="C16">
        <v>8936591</v>
      </c>
      <c r="D16">
        <v>2014</v>
      </c>
      <c r="E16" t="s">
        <v>10</v>
      </c>
    </row>
    <row r="17" spans="1:5" x14ac:dyDescent="0.45">
      <c r="A17">
        <v>8870312</v>
      </c>
      <c r="B17">
        <v>330</v>
      </c>
      <c r="C17">
        <v>8956395</v>
      </c>
      <c r="D17">
        <v>2015</v>
      </c>
      <c r="E17" t="s">
        <v>10</v>
      </c>
    </row>
    <row r="18" spans="1:5" x14ac:dyDescent="0.45">
      <c r="A18">
        <v>8873584</v>
      </c>
      <c r="B18">
        <v>282</v>
      </c>
      <c r="C18">
        <v>8942857</v>
      </c>
      <c r="D18">
        <v>2016</v>
      </c>
      <c r="E18" t="s">
        <v>10</v>
      </c>
    </row>
    <row r="19" spans="1:5" x14ac:dyDescent="0.45">
      <c r="A19">
        <v>8888147</v>
      </c>
      <c r="B19">
        <v>495</v>
      </c>
      <c r="C19">
        <v>9005644</v>
      </c>
      <c r="D19">
        <v>2017</v>
      </c>
      <c r="E19" t="s">
        <v>10</v>
      </c>
    </row>
    <row r="20" spans="1:5" x14ac:dyDescent="0.45">
      <c r="A20">
        <v>8891730</v>
      </c>
      <c r="B20">
        <v>561</v>
      </c>
      <c r="C20">
        <v>8908520</v>
      </c>
      <c r="D20">
        <v>2018</v>
      </c>
      <c r="E20" t="s">
        <v>10</v>
      </c>
    </row>
    <row r="21" spans="1:5" x14ac:dyDescent="0.45">
      <c r="A21">
        <v>8891258</v>
      </c>
      <c r="B21">
        <v>472</v>
      </c>
      <c r="C21">
        <v>8638072</v>
      </c>
      <c r="D21">
        <v>2019</v>
      </c>
      <c r="E2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Alabama</vt:lpstr>
      <vt:lpstr>Mississippi</vt:lpstr>
      <vt:lpstr>Wyoming</vt:lpstr>
      <vt:lpstr>Arkansas</vt:lpstr>
      <vt:lpstr>New Jersey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</dc:creator>
  <cp:lastModifiedBy>M O</cp:lastModifiedBy>
  <dcterms:created xsi:type="dcterms:W3CDTF">2026-10-09T00:40:52Z</dcterms:created>
  <dcterms:modified xsi:type="dcterms:W3CDTF">2026-10-27T07:21:03Z</dcterms:modified>
</cp:coreProperties>
</file>